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44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<sst xmlns="http://schemas.openxmlformats.org/spreadsheetml/2006/main" count="78" uniqueCount="47">
  <si>
    <t>1 микро р-он</t>
  </si>
  <si>
    <t>потребитель</t>
  </si>
  <si>
    <t>кол-во</t>
  </si>
  <si>
    <t xml:space="preserve">коэфециент </t>
  </si>
  <si>
    <t>еденицы измерения</t>
  </si>
  <si>
    <t>итого (кВт)</t>
  </si>
  <si>
    <t>всего на р-он (кВт)</t>
  </si>
  <si>
    <t>трансформатор</t>
  </si>
  <si>
    <t>ОБЩАЯ МОЩНОСТЬ ГОРОДА кВт</t>
  </si>
  <si>
    <t>квартиры</t>
  </si>
  <si>
    <t>0.71 (для 400 т.к. 4 района 20 квартир)</t>
  </si>
  <si>
    <t>кВт/квартира</t>
  </si>
  <si>
    <t>1х1000 кВа</t>
  </si>
  <si>
    <t>3 491,611</t>
  </si>
  <si>
    <t>+5% 3 667</t>
  </si>
  <si>
    <t>магазин продуктовый</t>
  </si>
  <si>
    <t>500 м2</t>
  </si>
  <si>
    <t>кВт/м2</t>
  </si>
  <si>
    <t>школа</t>
  </si>
  <si>
    <t>220 мест</t>
  </si>
  <si>
    <t>кВт/место</t>
  </si>
  <si>
    <t>дом спорта</t>
  </si>
  <si>
    <t xml:space="preserve">фонари </t>
  </si>
  <si>
    <t>кВт</t>
  </si>
  <si>
    <t>2 микро р-он</t>
  </si>
  <si>
    <t>1х630кВа</t>
  </si>
  <si>
    <t>магазин промтоварный</t>
  </si>
  <si>
    <t>стадион (прожекторы)</t>
  </si>
  <si>
    <t>150 Ватт мощность одного прожектора</t>
  </si>
  <si>
    <t>фонари</t>
  </si>
  <si>
    <t>3 микро р-он</t>
  </si>
  <si>
    <t>отель</t>
  </si>
  <si>
    <t>больница</t>
  </si>
  <si>
    <t>дом детского творчества</t>
  </si>
  <si>
    <t>Ледовый Дворец</t>
  </si>
  <si>
    <t>Спорт.Магазин</t>
  </si>
  <si>
    <t>Кафе</t>
  </si>
  <si>
    <t xml:space="preserve">кВт </t>
  </si>
  <si>
    <t>4 микро р-он</t>
  </si>
  <si>
    <t>детский сад</t>
  </si>
  <si>
    <t>Администрация</t>
  </si>
  <si>
    <t>ТЦ</t>
  </si>
  <si>
    <t>2х630кВа</t>
  </si>
  <si>
    <t>парк (фонари)</t>
  </si>
  <si>
    <t>50 Ватт</t>
  </si>
  <si>
    <t>полиция</t>
  </si>
  <si>
    <t>пожарная часть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</si>
</sst>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\.00_);[Red]\(0\.00\)"/>
  </numFmts>
  <fonts count="24">
    <font>
      <sz val="11"/>
      <color theme="1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b/>
      <sz val="12"/>
      <color theme="1"/>
      <name val="Calibri"/>
      <charset val="204"/>
      <scheme val="minor"/>
    </font>
    <font>
      <sz val="11"/>
      <name val="Segoe UI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NumberFormat="1" applyFont="1"/>
    <xf numFmtId="180" fontId="0" fillId="0" borderId="0" xfId="0" applyNumberFormat="1"/>
    <xf numFmtId="0" fontId="3" fillId="0" borderId="0" xfId="0" applyFont="1"/>
    <xf numFmtId="0" fontId="1" fillId="0" borderId="0" xfId="0" applyFont="1" quotePrefix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workbookViewId="0">
      <selection activeCell="J9" sqref="J9"/>
    </sheetView>
  </sheetViews>
  <sheetFormatPr defaultColWidth="9" defaultRowHeight="14.4"/>
  <cols>
    <col min="1" max="1" width="16.1111111111111" customWidth="1"/>
    <col min="2" max="2" width="12.4259259259259" customWidth="1"/>
    <col min="3" max="3" width="12.5740740740741" customWidth="1"/>
    <col min="4" max="4" width="20.5740740740741" customWidth="1"/>
    <col min="5" max="5" width="10.8518518518519" customWidth="1"/>
    <col min="7" max="7" width="17.7777777777778" customWidth="1"/>
    <col min="8" max="8" width="16.8888888888889" customWidth="1"/>
    <col min="10" max="10" width="15.2222222222222" customWidth="1"/>
  </cols>
  <sheetData>
    <row r="1" spans="1:5">
      <c r="A1" s="1" t="s">
        <v>0</v>
      </c>
      <c r="B1" s="1"/>
      <c r="C1" s="1"/>
      <c r="D1" s="1"/>
      <c r="E1" s="1"/>
    </row>
    <row r="2" ht="15.6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G2" s="2" t="s">
        <v>6</v>
      </c>
      <c r="H2" s="3" t="s">
        <v>7</v>
      </c>
      <c r="I2" s="2" t="s">
        <v>8</v>
      </c>
    </row>
    <row r="3" ht="43.2" spans="1:10">
      <c r="A3" t="s">
        <v>9</v>
      </c>
      <c r="B3">
        <v>20</v>
      </c>
      <c r="C3" s="4" t="s">
        <v>10</v>
      </c>
      <c r="D3" t="s">
        <v>11</v>
      </c>
      <c r="E3">
        <v>284</v>
      </c>
      <c r="G3" s="5">
        <f>SUM(E3:E7)</f>
        <v>794.8</v>
      </c>
      <c r="H3" s="2" t="s">
        <v>12</v>
      </c>
      <c r="I3" s="5" t="s">
        <v>13</v>
      </c>
      <c r="J3" s="8" t="s">
        <v>14</v>
      </c>
    </row>
    <row r="4" ht="28.8" spans="1:7">
      <c r="A4" s="4" t="s">
        <v>15</v>
      </c>
      <c r="B4" t="s">
        <v>16</v>
      </c>
      <c r="C4">
        <v>0.18</v>
      </c>
      <c r="D4" t="s">
        <v>17</v>
      </c>
      <c r="E4">
        <v>90</v>
      </c>
      <c r="G4" s="6"/>
    </row>
    <row r="5" spans="1:5">
      <c r="A5" t="s">
        <v>18</v>
      </c>
      <c r="B5" t="s">
        <v>19</v>
      </c>
      <c r="C5">
        <v>0.77</v>
      </c>
      <c r="D5" t="s">
        <v>20</v>
      </c>
      <c r="E5">
        <v>154</v>
      </c>
    </row>
    <row r="6" spans="1:5">
      <c r="A6" t="s">
        <v>21</v>
      </c>
      <c r="C6">
        <v>0.1</v>
      </c>
      <c r="D6" t="s">
        <v>17</v>
      </c>
      <c r="E6">
        <v>250</v>
      </c>
    </row>
    <row r="7" spans="1:5">
      <c r="A7" t="s">
        <v>22</v>
      </c>
      <c r="B7">
        <v>28</v>
      </c>
      <c r="C7">
        <v>0.6</v>
      </c>
      <c r="D7" t="s">
        <v>23</v>
      </c>
      <c r="E7">
        <v>16.8</v>
      </c>
    </row>
    <row r="8" spans="1:5">
      <c r="A8" s="1" t="s">
        <v>24</v>
      </c>
      <c r="B8" s="1"/>
      <c r="C8" s="1"/>
      <c r="D8" s="1"/>
      <c r="E8" s="1"/>
    </row>
    <row r="9" ht="43.2" spans="1:8">
      <c r="A9" t="s">
        <v>9</v>
      </c>
      <c r="B9">
        <v>20</v>
      </c>
      <c r="C9" s="4" t="s">
        <v>10</v>
      </c>
      <c r="D9" t="s">
        <v>11</v>
      </c>
      <c r="E9">
        <v>284</v>
      </c>
      <c r="G9" s="5">
        <f>SUM(E9:E13)</f>
        <v>507</v>
      </c>
      <c r="H9" s="2" t="s">
        <v>25</v>
      </c>
    </row>
    <row r="10" ht="28.8" spans="1:5">
      <c r="A10" s="4" t="s">
        <v>15</v>
      </c>
      <c r="B10" t="s">
        <v>16</v>
      </c>
      <c r="C10">
        <v>0.25</v>
      </c>
      <c r="D10" t="s">
        <v>17</v>
      </c>
      <c r="E10">
        <v>125</v>
      </c>
    </row>
    <row r="11" ht="28.8" spans="1:5">
      <c r="A11" s="4" t="s">
        <v>26</v>
      </c>
      <c r="B11" t="s">
        <v>16</v>
      </c>
      <c r="C11">
        <v>0.16</v>
      </c>
      <c r="D11" t="s">
        <v>17</v>
      </c>
      <c r="E11">
        <v>80</v>
      </c>
    </row>
    <row r="12" ht="57.6" spans="1:5">
      <c r="A12" s="4" t="s">
        <v>27</v>
      </c>
      <c r="B12" s="4">
        <v>8</v>
      </c>
      <c r="C12" s="4" t="s">
        <v>28</v>
      </c>
      <c r="D12" s="4" t="s">
        <v>23</v>
      </c>
      <c r="E12" s="4">
        <v>1.2</v>
      </c>
    </row>
    <row r="13" spans="1:5">
      <c r="A13" t="s">
        <v>29</v>
      </c>
      <c r="B13">
        <v>28</v>
      </c>
      <c r="C13">
        <v>0.6</v>
      </c>
      <c r="D13" t="s">
        <v>23</v>
      </c>
      <c r="E13">
        <v>16.8</v>
      </c>
    </row>
    <row r="14" spans="1:5">
      <c r="A14" s="1" t="s">
        <v>30</v>
      </c>
      <c r="B14" s="1"/>
      <c r="C14" s="1"/>
      <c r="D14" s="1"/>
      <c r="E14" s="1"/>
    </row>
    <row r="15" ht="43.2" spans="1:8">
      <c r="A15" t="s">
        <v>9</v>
      </c>
      <c r="B15">
        <v>20</v>
      </c>
      <c r="C15" s="4" t="s">
        <v>10</v>
      </c>
      <c r="D15" t="s">
        <v>11</v>
      </c>
      <c r="E15">
        <v>284</v>
      </c>
      <c r="G15" s="5">
        <f>SUM(E15:E22)</f>
        <v>989.861</v>
      </c>
      <c r="H15" s="2" t="s">
        <v>12</v>
      </c>
    </row>
    <row r="16" spans="1:5">
      <c r="A16" s="4" t="s">
        <v>31</v>
      </c>
      <c r="B16">
        <v>125</v>
      </c>
      <c r="C16">
        <v>0.46</v>
      </c>
      <c r="D16" t="s">
        <v>20</v>
      </c>
      <c r="E16">
        <v>57.5</v>
      </c>
    </row>
    <row r="17" spans="1:5">
      <c r="A17" s="4" t="s">
        <v>32</v>
      </c>
      <c r="B17">
        <v>80</v>
      </c>
      <c r="C17">
        <v>0.5</v>
      </c>
      <c r="D17" t="s">
        <v>20</v>
      </c>
      <c r="E17">
        <v>40</v>
      </c>
    </row>
    <row r="18" ht="28.8" spans="1:5">
      <c r="A18" s="4" t="s">
        <v>33</v>
      </c>
      <c r="B18">
        <v>50</v>
      </c>
      <c r="C18">
        <v>0.3</v>
      </c>
      <c r="D18" t="s">
        <v>20</v>
      </c>
      <c r="E18">
        <v>15</v>
      </c>
    </row>
    <row r="19" spans="1:5">
      <c r="A19" t="s">
        <v>29</v>
      </c>
      <c r="B19">
        <v>28</v>
      </c>
      <c r="C19">
        <v>0.6</v>
      </c>
      <c r="D19" t="s">
        <v>23</v>
      </c>
      <c r="E19">
        <v>16.8</v>
      </c>
    </row>
    <row r="20" spans="1:5">
      <c r="A20" t="s">
        <v>34</v>
      </c>
      <c r="C20">
        <v>0.8</v>
      </c>
      <c r="D20" t="s">
        <v>23</v>
      </c>
      <c r="E20">
        <v>540</v>
      </c>
    </row>
    <row r="21" spans="1:5">
      <c r="A21" t="s">
        <v>35</v>
      </c>
      <c r="C21">
        <v>0.51</v>
      </c>
      <c r="D21" t="s">
        <v>23</v>
      </c>
      <c r="E21">
        <v>26.061</v>
      </c>
    </row>
    <row r="22" spans="1:5">
      <c r="A22" t="s">
        <v>36</v>
      </c>
      <c r="C22">
        <v>0.5</v>
      </c>
      <c r="D22" t="s">
        <v>37</v>
      </c>
      <c r="E22">
        <v>10.5</v>
      </c>
    </row>
    <row r="23" spans="1:5">
      <c r="A23" s="1" t="s">
        <v>38</v>
      </c>
      <c r="B23" s="1"/>
      <c r="C23" s="1"/>
      <c r="D23" s="1"/>
      <c r="E23" s="1"/>
    </row>
    <row r="24" spans="1:8">
      <c r="A24" t="s">
        <v>39</v>
      </c>
      <c r="B24" t="s">
        <v>19</v>
      </c>
      <c r="C24">
        <v>0.46</v>
      </c>
      <c r="D24" t="s">
        <v>20</v>
      </c>
      <c r="E24">
        <v>101.2</v>
      </c>
      <c r="G24" s="5">
        <f>SUM(E24:E30)</f>
        <v>1199.95</v>
      </c>
      <c r="H24">
        <v>1301.465</v>
      </c>
    </row>
    <row r="25" spans="1:5">
      <c r="A25" s="4" t="s">
        <v>40</v>
      </c>
      <c r="B25">
        <v>450</v>
      </c>
      <c r="C25">
        <v>0.3</v>
      </c>
      <c r="D25" t="s">
        <v>20</v>
      </c>
      <c r="E25">
        <v>25.8</v>
      </c>
    </row>
    <row r="26" spans="1:8">
      <c r="A26" s="4" t="s">
        <v>41</v>
      </c>
      <c r="B26">
        <v>2500</v>
      </c>
      <c r="C26">
        <v>0.75</v>
      </c>
      <c r="D26" t="s">
        <v>20</v>
      </c>
      <c r="E26">
        <v>1050</v>
      </c>
      <c r="H26" s="2" t="s">
        <v>42</v>
      </c>
    </row>
    <row r="27" spans="1:5">
      <c r="A27" s="4" t="s">
        <v>43</v>
      </c>
      <c r="B27">
        <v>15</v>
      </c>
      <c r="C27" t="s">
        <v>44</v>
      </c>
      <c r="D27" t="s">
        <v>23</v>
      </c>
      <c r="E27">
        <v>0.75</v>
      </c>
    </row>
    <row r="28" ht="16.8" spans="1:5">
      <c r="A28" s="4" t="s">
        <v>45</v>
      </c>
      <c r="B28">
        <v>50</v>
      </c>
      <c r="C28" s="7">
        <v>0.054</v>
      </c>
      <c r="D28" t="s">
        <v>20</v>
      </c>
      <c r="E28">
        <v>2.7</v>
      </c>
    </row>
    <row r="29" ht="16.8" spans="1:5">
      <c r="A29" s="4" t="s">
        <v>46</v>
      </c>
      <c r="B29">
        <v>50</v>
      </c>
      <c r="C29" s="7">
        <v>0.054</v>
      </c>
      <c r="D29" t="s">
        <v>20</v>
      </c>
      <c r="E29">
        <v>2.7</v>
      </c>
    </row>
    <row r="30" spans="1:5">
      <c r="A30" t="s">
        <v>29</v>
      </c>
      <c r="B30">
        <v>28</v>
      </c>
      <c r="C30">
        <v>0.6</v>
      </c>
      <c r="D30" t="s">
        <v>23</v>
      </c>
      <c r="E30">
        <v>16.8</v>
      </c>
    </row>
  </sheetData>
  <mergeCells count="4">
    <mergeCell ref="A1:E1"/>
    <mergeCell ref="A8:E8"/>
    <mergeCell ref="A14:E14"/>
    <mergeCell ref="A23:E2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Воронин</dc:creator>
  <cp:lastModifiedBy>User</cp:lastModifiedBy>
  <dcterms:created xsi:type="dcterms:W3CDTF">2026-04-22T16:51:00Z</dcterms:created>
  <dcterms:modified xsi:type="dcterms:W3CDTF">2026-04-24T17:23:55Z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4B9C31901636480CAFEA15A5D60A4A74_12</vt:lpwstr>
  </property>
  <property fmtid="{D5CDD505-2E9C-101B-9397-08002B2CF9AE}" pid="3" name="KSOProductBuildVer">
    <vt:lpwstr>1049-12.2.0.23196</vt:lpwstr>
  </property>
</Properties>
</file>